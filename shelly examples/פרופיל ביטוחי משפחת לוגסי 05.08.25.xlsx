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מחשבים אחרים\My Laptop\ביטוח\פונדקאיות\לוגסי אליסה\פרופיל ביטוחי\"/>
    </mc:Choice>
  </mc:AlternateContent>
  <xr:revisionPtr revIDLastSave="0" documentId="13_ncr:1_{717F00E5-0A3E-431E-8308-6AE28ED32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תיק ביטוחי" sheetId="1" r:id="rId1"/>
    <sheet name="יונתן" sheetId="2" r:id="rId2"/>
    <sheet name="איתן" sheetId="3" r:id="rId3"/>
    <sheet name="אנה" sheetId="4" r:id="rId4"/>
  </sheets>
  <definedNames>
    <definedName name="_xlnm._FilterDatabase" localSheetId="2" hidden="1">איתן!$A$4:$I$14</definedName>
    <definedName name="_xlnm._FilterDatabase" localSheetId="3" hidden="1">אנה!$A$4:$I$14</definedName>
    <definedName name="_xlnm._FilterDatabase" localSheetId="1" hidden="1">יונתן!$A$4:$I$25</definedName>
    <definedName name="ReportDate" localSheetId="2">איתן!$F$2</definedName>
    <definedName name="ReportDate" localSheetId="3">אנה!$F$2</definedName>
    <definedName name="ReportDate" localSheetId="1">יונתן!$F$2</definedName>
    <definedName name="ReportDate">'תיק ביטוחי'!#REF!</definedName>
    <definedName name="Results" localSheetId="2">איתן!$A$5:$I$5</definedName>
    <definedName name="Results" localSheetId="3">אנה!$A$5:$I$5</definedName>
    <definedName name="Results" localSheetId="1">יונתן!$A$5:$I$5</definedName>
    <definedName name="Results">'תיק ביטוחי'!#REF!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7" i="1"/>
</calcChain>
</file>

<file path=xl/sharedStrings.xml><?xml version="1.0" encoding="utf-8"?>
<sst xmlns="http://schemas.openxmlformats.org/spreadsheetml/2006/main" count="440" uniqueCount="86">
  <si>
    <t>התיק הביטוחי, הופק מאתר 'הר הביטוח' של משרד האוצר, בתאריך</t>
  </si>
  <si>
    <t>ענף ראשי</t>
  </si>
  <si>
    <t>ענף (משני)</t>
  </si>
  <si>
    <t>חברה</t>
  </si>
  <si>
    <t>מספר פוליסה</t>
  </si>
  <si>
    <t>סיווג תכנית</t>
  </si>
  <si>
    <t>סוג מוצר</t>
  </si>
  <si>
    <t>תקופת ביטוח</t>
  </si>
  <si>
    <t>פרמיה בש"ח</t>
  </si>
  <si>
    <t>תעודת זהות</t>
  </si>
  <si>
    <t>תחום - בריאות ותאונות אישיות</t>
  </si>
  <si>
    <t/>
  </si>
  <si>
    <t>ביטוח בריאות</t>
  </si>
  <si>
    <t>ייעוץ ובדיקות</t>
  </si>
  <si>
    <t>פוליסת ביטוח</t>
  </si>
  <si>
    <t>הראל חברה לביטוח בע"מ</t>
  </si>
  <si>
    <t>מתחדש</t>
  </si>
  <si>
    <t>אישי</t>
  </si>
  <si>
    <t>מחלות קשות</t>
  </si>
  <si>
    <t>מגדל חברה לביטוח בע"מ</t>
  </si>
  <si>
    <t>השתלות</t>
  </si>
  <si>
    <t>ניתוחים אחידה</t>
  </si>
  <si>
    <t>תרופות - בסיס</t>
  </si>
  <si>
    <t>ניתוחים בחו"ל</t>
  </si>
  <si>
    <t>תרופות - הרחבה</t>
  </si>
  <si>
    <t>כתב שירות</t>
  </si>
  <si>
    <t>כתב שירות רפואה משלימה</t>
  </si>
  <si>
    <t>תחום - חיים ואבדן כושר עבודה</t>
  </si>
  <si>
    <t>ביטוח חיים</t>
  </si>
  <si>
    <t>ביטוח חיים למקרה מוות</t>
  </si>
  <si>
    <t>04/08/2025</t>
  </si>
  <si>
    <t>01/06/2024 - 01/06/2060</t>
  </si>
  <si>
    <t>קבוצתי</t>
  </si>
  <si>
    <t>01/04/2023 - 31/03/2028</t>
  </si>
  <si>
    <t>מנורה מבטחים ביטוח בע"מ</t>
  </si>
  <si>
    <t>חבילת כיסויים</t>
  </si>
  <si>
    <t>אחר</t>
  </si>
  <si>
    <t>05/06/2018 - 31/10/2052</t>
  </si>
  <si>
    <t>תאונות אישיות</t>
  </si>
  <si>
    <t>05/06/2018 - 31/10/2065</t>
  </si>
  <si>
    <t>קבוצתי קופת חולים</t>
  </si>
  <si>
    <t>סיעודי עד 3 חודשים</t>
  </si>
  <si>
    <t>ביטוח סיעודי</t>
  </si>
  <si>
    <t>01/01/2025 - 31/12/2025</t>
  </si>
  <si>
    <t>איי אי ג'י ישראל חברה לביטוח בע"מ</t>
  </si>
  <si>
    <t>כתב שירות חבילת נזקי מים מורחב (כולל איטום וחירום)</t>
  </si>
  <si>
    <t>ביטוח תכולה</t>
  </si>
  <si>
    <t>ביטוח דירה</t>
  </si>
  <si>
    <t>01/07/2024 - 30/06/2025</t>
  </si>
  <si>
    <t>כתב שירות שמשות</t>
  </si>
  <si>
    <t>ביטוח מקיף</t>
  </si>
  <si>
    <t>ביטוח רכב</t>
  </si>
  <si>
    <t>כתב שירות רכב חלופי מורחב (עד הבית)</t>
  </si>
  <si>
    <t>כתב שירות שירותי דרך וגרירה</t>
  </si>
  <si>
    <t>רכב חובה</t>
  </si>
  <si>
    <t>תחום - כללי</t>
  </si>
  <si>
    <t>01/01/2024 - 31/12/2025</t>
  </si>
  <si>
    <t>05/08/2025</t>
  </si>
  <si>
    <t>שם המבוטח</t>
  </si>
  <si>
    <t>סכום הביטוח</t>
  </si>
  <si>
    <t>אליסה</t>
  </si>
  <si>
    <t>בריאות</t>
  </si>
  <si>
    <t>שלי</t>
  </si>
  <si>
    <t>חיים</t>
  </si>
  <si>
    <t>תרופות - בסיס + הרחבה</t>
  </si>
  <si>
    <t>יונתן</t>
  </si>
  <si>
    <t>ניתוחים שקל ראשון</t>
  </si>
  <si>
    <t>אליסה + איתן + אנה</t>
  </si>
  <si>
    <t>איתן</t>
  </si>
  <si>
    <t>אנה</t>
  </si>
  <si>
    <t>מגדל</t>
  </si>
  <si>
    <t>הראל</t>
  </si>
  <si>
    <t>מנורה</t>
  </si>
  <si>
    <t>פרופיל ביטוחי משפחת לוגסי 05/08/25</t>
  </si>
  <si>
    <t>מקרא</t>
  </si>
  <si>
    <t>כיסויים</t>
  </si>
  <si>
    <t>ריסק משכנתה</t>
  </si>
  <si>
    <t xml:space="preserve">ריסק </t>
  </si>
  <si>
    <t>נכויות</t>
  </si>
  <si>
    <t>תרופות בסיס</t>
  </si>
  <si>
    <t>תרופות בהתאמה</t>
  </si>
  <si>
    <t>ניתוחים בחול</t>
  </si>
  <si>
    <t>ניתוחים בארץ</t>
  </si>
  <si>
    <t>אמבולטורי</t>
  </si>
  <si>
    <t>X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</si>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</sst>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38">
    <xf numFmtId="0" fontId="0" fillId="0" borderId="0" xfId="0"/>
    <xf numFmtId="0" fontId="0" fillId="3" borderId="1" xfId="0" applyFill="1" applyBorder="1" applyAlignment="1">
      <alignment horizontal="right" vertical="top"/>
    </xf>
    <xf numFmtId="0" fontId="0" fillId="0" borderId="1" xfId="0" applyBorder="1"/>
    <xf numFmtId="0" fontId="2" fillId="2" borderId="0" xfId="0" applyFont="1" applyFill="1" applyAlignment="1">
      <alignment horizontal="right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164" fontId="6" fillId="3" borderId="1" xfId="2" applyNumberFormat="1" applyFont="1" applyFill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4" fontId="6" fillId="6" borderId="0" xfId="2" applyNumberFormat="1" applyFont="1" applyFill="1"/>
    <xf numFmtId="0" fontId="9" fillId="5" borderId="1" xfId="4" applyFont="1" applyBorder="1" applyAlignment="1">
      <alignment horizontal="center" vertical="center"/>
    </xf>
    <xf numFmtId="0" fontId="10" fillId="4" borderId="1" xfId="3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7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164" fontId="0" fillId="0" borderId="3" xfId="2" applyNumberFormat="1" applyFont="1" applyBorder="1" applyAlignment="1">
      <alignment horizontal="center" vertical="center"/>
    </xf>
    <xf numFmtId="164" fontId="0" fillId="0" borderId="4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4" borderId="2" xfId="3" applyFont="1" applyBorder="1" applyAlignment="1">
      <alignment horizontal="center" vertical="center"/>
    </xf>
    <xf numFmtId="0" fontId="10" fillId="4" borderId="3" xfId="3" applyFont="1" applyBorder="1" applyAlignment="1">
      <alignment horizontal="center" vertical="center"/>
    </xf>
    <xf numFmtId="0" fontId="10" fillId="4" borderId="4" xfId="3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0" fillId="4" borderId="2" xfId="3" applyFont="1" applyBorder="1" applyAlignment="1">
      <alignment horizontal="center" vertical="center" wrapText="1"/>
    </xf>
    <xf numFmtId="0" fontId="10" fillId="4" borderId="3" xfId="3" applyFont="1" applyBorder="1" applyAlignment="1">
      <alignment horizontal="center" vertical="center" wrapText="1"/>
    </xf>
    <xf numFmtId="0" fontId="10" fillId="4" borderId="4" xfId="3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5">
    <cellStyle name="Comma" xfId="1" builtinId="3"/>
    <cellStyle name="Currency" xfId="2" builtinId="4"/>
    <cellStyle name="Normal" xfId="0" builtinId="0"/>
    <cellStyle name="טוב" xfId="3" builtinId="26"/>
    <cellStyle name="רע" xfId="4" builtinId="27"/>
  </cellStyles>
  <dxfs count="12"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</dxfs>
  <tableStyles count="0" defaultTableStyle="TableStyleMedium2" defaultPivotStyle="PivotStyleLight16"/>
  <colors>
    <mruColors>
      <color rgb="FFBEE1E5"/>
      <color rgb="FFC4D96F"/>
      <color rgb="FFFFC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rightToLeft="1" tabSelected="1" workbookViewId="0">
      <selection activeCell="K3" sqref="K3"/>
    </sheetView>
  </sheetViews>
  <sheetFormatPr defaultRowHeight="15" x14ac:dyDescent="0.25"/>
  <cols>
    <col min="1" max="1" width="8.42578125" customWidth="1"/>
    <col min="2" max="2" width="9.42578125" bestFit="1" customWidth="1"/>
    <col min="3" max="3" width="11.85546875" bestFit="1" customWidth="1"/>
    <col min="4" max="4" width="13.5703125" customWidth="1"/>
    <col min="5" max="5" width="15.42578125" bestFit="1" customWidth="1"/>
    <col min="6" max="6" width="20.42578125" bestFit="1" customWidth="1"/>
    <col min="7" max="8" width="11.85546875" style="8" bestFit="1" customWidth="1"/>
    <col min="10" max="10" width="5.42578125" customWidth="1"/>
    <col min="11" max="11" width="13.42578125" bestFit="1" customWidth="1"/>
    <col min="12" max="13" width="9.85546875" bestFit="1" customWidth="1"/>
    <col min="14" max="15" width="8.42578125" bestFit="1" customWidth="1"/>
  </cols>
  <sheetData>
    <row r="1" spans="1:15" x14ac:dyDescent="0.25">
      <c r="A1" s="35" t="s">
        <v>73</v>
      </c>
      <c r="B1" s="35"/>
      <c r="C1" s="35"/>
      <c r="D1" s="35"/>
      <c r="E1" s="35"/>
      <c r="F1" s="35"/>
      <c r="G1" s="35"/>
      <c r="H1" s="35"/>
    </row>
    <row r="2" spans="1:15" x14ac:dyDescent="0.25">
      <c r="A2" s="35"/>
      <c r="B2" s="35"/>
      <c r="C2" s="35"/>
      <c r="D2" s="35"/>
      <c r="E2" s="35"/>
      <c r="F2" s="35"/>
      <c r="G2" s="35"/>
      <c r="H2" s="35"/>
    </row>
    <row r="3" spans="1:15" ht="18.75" x14ac:dyDescent="0.25">
      <c r="A3" s="25" t="s">
        <v>63</v>
      </c>
      <c r="B3" s="25"/>
      <c r="C3" s="25"/>
      <c r="D3" s="25"/>
      <c r="E3" s="25"/>
      <c r="F3" s="25"/>
      <c r="G3" s="25"/>
      <c r="H3" s="25"/>
    </row>
    <row r="4" spans="1:15" ht="33" customHeight="1" x14ac:dyDescent="0.25">
      <c r="A4" s="4" t="s">
        <v>3</v>
      </c>
      <c r="B4" s="4" t="s">
        <v>5</v>
      </c>
      <c r="C4" s="4" t="s">
        <v>4</v>
      </c>
      <c r="D4" s="4" t="s">
        <v>7</v>
      </c>
      <c r="E4" s="4" t="s">
        <v>58</v>
      </c>
      <c r="F4" s="4" t="s">
        <v>2</v>
      </c>
      <c r="G4" s="9" t="s">
        <v>59</v>
      </c>
      <c r="H4" s="9" t="s">
        <v>8</v>
      </c>
      <c r="K4" s="17" t="s">
        <v>74</v>
      </c>
      <c r="L4" s="17"/>
      <c r="M4" s="17"/>
      <c r="N4" s="17"/>
      <c r="O4" s="17"/>
    </row>
    <row r="5" spans="1:15" s="6" customFormat="1" ht="27.75" customHeight="1" x14ac:dyDescent="0.25">
      <c r="A5" s="21" t="s">
        <v>70</v>
      </c>
      <c r="B5" s="21" t="s">
        <v>17</v>
      </c>
      <c r="C5" s="5">
        <v>23155245</v>
      </c>
      <c r="D5" s="7">
        <v>45444</v>
      </c>
      <c r="E5" s="12" t="s">
        <v>60</v>
      </c>
      <c r="F5" s="5" t="s">
        <v>29</v>
      </c>
      <c r="G5" s="10">
        <v>2065580.79</v>
      </c>
      <c r="H5" s="10">
        <v>70.92</v>
      </c>
      <c r="I5" s="6" t="s">
        <v>62</v>
      </c>
      <c r="K5" s="14" t="s">
        <v>75</v>
      </c>
      <c r="L5" s="14" t="s">
        <v>60</v>
      </c>
      <c r="M5" s="14" t="s">
        <v>65</v>
      </c>
      <c r="N5" s="14" t="s">
        <v>68</v>
      </c>
      <c r="O5" s="14" t="s">
        <v>69</v>
      </c>
    </row>
    <row r="6" spans="1:15" s="6" customFormat="1" ht="29.25" customHeight="1" x14ac:dyDescent="0.25">
      <c r="A6" s="23"/>
      <c r="B6" s="23"/>
      <c r="C6" s="5">
        <v>23155244</v>
      </c>
      <c r="D6" s="7">
        <v>45444</v>
      </c>
      <c r="E6" s="12" t="s">
        <v>65</v>
      </c>
      <c r="F6" s="5" t="s">
        <v>29</v>
      </c>
      <c r="G6" s="10">
        <v>2065580.79</v>
      </c>
      <c r="H6" s="10">
        <v>117.05</v>
      </c>
      <c r="I6" s="6" t="s">
        <v>62</v>
      </c>
      <c r="K6" s="15" t="s">
        <v>76</v>
      </c>
      <c r="L6" s="16" t="s">
        <v>84</v>
      </c>
      <c r="M6" s="16" t="s">
        <v>84</v>
      </c>
      <c r="N6" s="16"/>
      <c r="O6" s="16"/>
    </row>
    <row r="7" spans="1:15" x14ac:dyDescent="0.25">
      <c r="H7" s="11">
        <f>SUM(H5:H6)</f>
        <v>187.97</v>
      </c>
      <c r="K7" s="15" t="s">
        <v>77</v>
      </c>
      <c r="L7" s="16">
        <v>2065580.79</v>
      </c>
      <c r="M7" s="16">
        <v>2065580.79</v>
      </c>
      <c r="N7" s="16"/>
      <c r="O7" s="16"/>
    </row>
    <row r="8" spans="1:15" ht="18.75" x14ac:dyDescent="0.25">
      <c r="A8" s="25" t="s">
        <v>61</v>
      </c>
      <c r="B8" s="25"/>
      <c r="C8" s="25"/>
      <c r="D8" s="25"/>
      <c r="E8" s="25"/>
      <c r="F8" s="25"/>
      <c r="G8" s="25"/>
      <c r="H8" s="25"/>
      <c r="K8" s="15" t="s">
        <v>78</v>
      </c>
      <c r="L8" s="16" t="s">
        <v>84</v>
      </c>
      <c r="M8" s="16" t="s">
        <v>84</v>
      </c>
      <c r="N8" s="16"/>
      <c r="O8" s="16"/>
    </row>
    <row r="9" spans="1:15" ht="33" customHeight="1" x14ac:dyDescent="0.25">
      <c r="A9" s="4" t="s">
        <v>3</v>
      </c>
      <c r="B9" s="4" t="s">
        <v>5</v>
      </c>
      <c r="C9" s="4" t="s">
        <v>4</v>
      </c>
      <c r="D9" s="4" t="s">
        <v>7</v>
      </c>
      <c r="E9" s="4" t="s">
        <v>58</v>
      </c>
      <c r="F9" s="4" t="s">
        <v>2</v>
      </c>
      <c r="G9" s="9" t="s">
        <v>59</v>
      </c>
      <c r="H9" s="9" t="s">
        <v>8</v>
      </c>
      <c r="K9" s="15" t="s">
        <v>38</v>
      </c>
      <c r="L9" s="16" t="s">
        <v>84</v>
      </c>
      <c r="M9" s="16" t="s">
        <v>85</v>
      </c>
      <c r="N9" s="16"/>
      <c r="O9" s="16"/>
    </row>
    <row r="10" spans="1:15" s="6" customFormat="1" ht="28.5" customHeight="1" x14ac:dyDescent="0.25">
      <c r="A10" s="21" t="s">
        <v>70</v>
      </c>
      <c r="B10" s="21" t="s">
        <v>17</v>
      </c>
      <c r="C10" s="5">
        <v>23153982</v>
      </c>
      <c r="D10" s="7">
        <v>45444</v>
      </c>
      <c r="E10" s="13" t="s">
        <v>60</v>
      </c>
      <c r="F10" s="5" t="s">
        <v>18</v>
      </c>
      <c r="G10" s="10">
        <v>206558.07999999999</v>
      </c>
      <c r="H10" s="10">
        <v>124.07</v>
      </c>
      <c r="I10" s="6" t="s">
        <v>62</v>
      </c>
      <c r="K10" s="15" t="s">
        <v>18</v>
      </c>
      <c r="L10" s="16">
        <v>206558.07999999999</v>
      </c>
      <c r="M10" s="16" t="s">
        <v>84</v>
      </c>
      <c r="N10" s="16">
        <v>206558.07999999999</v>
      </c>
      <c r="O10" s="16">
        <v>206558.07999999999</v>
      </c>
    </row>
    <row r="11" spans="1:15" s="6" customFormat="1" ht="29.25" customHeight="1" x14ac:dyDescent="0.25">
      <c r="A11" s="22"/>
      <c r="B11" s="22"/>
      <c r="C11" s="5">
        <v>23153981</v>
      </c>
      <c r="D11" s="7">
        <v>45444</v>
      </c>
      <c r="E11" s="13" t="s">
        <v>68</v>
      </c>
      <c r="F11" s="5" t="s">
        <v>18</v>
      </c>
      <c r="G11" s="10">
        <v>206558.07999999999</v>
      </c>
      <c r="H11" s="10">
        <v>10.85</v>
      </c>
      <c r="I11" s="6" t="s">
        <v>62</v>
      </c>
      <c r="K11" s="15" t="s">
        <v>20</v>
      </c>
      <c r="L11" s="16" t="s">
        <v>85</v>
      </c>
      <c r="M11" s="16" t="s">
        <v>85</v>
      </c>
      <c r="N11" s="16" t="s">
        <v>85</v>
      </c>
      <c r="O11" s="16" t="s">
        <v>85</v>
      </c>
    </row>
    <row r="12" spans="1:15" s="6" customFormat="1" ht="28.5" customHeight="1" x14ac:dyDescent="0.25">
      <c r="A12" s="23"/>
      <c r="B12" s="23"/>
      <c r="C12" s="5">
        <v>23153980</v>
      </c>
      <c r="D12" s="7">
        <v>45444</v>
      </c>
      <c r="E12" s="13" t="s">
        <v>69</v>
      </c>
      <c r="F12" s="5" t="s">
        <v>18</v>
      </c>
      <c r="G12" s="10">
        <v>206558.07999999999</v>
      </c>
      <c r="H12" s="10">
        <v>10.85</v>
      </c>
      <c r="I12" s="6" t="s">
        <v>62</v>
      </c>
      <c r="K12" s="15" t="s">
        <v>79</v>
      </c>
      <c r="L12" s="16" t="s">
        <v>85</v>
      </c>
      <c r="M12" s="16" t="s">
        <v>85</v>
      </c>
      <c r="N12" s="16" t="s">
        <v>85</v>
      </c>
      <c r="O12" s="16" t="s">
        <v>85</v>
      </c>
    </row>
    <row r="13" spans="1:15" s="6" customFormat="1" x14ac:dyDescent="0.25">
      <c r="A13" s="21" t="s">
        <v>71</v>
      </c>
      <c r="B13" s="21" t="s">
        <v>17</v>
      </c>
      <c r="C13" s="21">
        <v>504576535</v>
      </c>
      <c r="D13" s="29">
        <v>44896</v>
      </c>
      <c r="E13" s="32" t="s">
        <v>67</v>
      </c>
      <c r="F13" s="5" t="s">
        <v>13</v>
      </c>
      <c r="G13" s="18"/>
      <c r="H13" s="18">
        <v>357.72</v>
      </c>
      <c r="I13" s="24" t="s">
        <v>62</v>
      </c>
      <c r="K13" s="15" t="s">
        <v>80</v>
      </c>
      <c r="L13" s="16" t="s">
        <v>85</v>
      </c>
      <c r="M13" s="16" t="s">
        <v>84</v>
      </c>
      <c r="N13" s="16" t="s">
        <v>85</v>
      </c>
      <c r="O13" s="16" t="s">
        <v>85</v>
      </c>
    </row>
    <row r="14" spans="1:15" s="6" customFormat="1" x14ac:dyDescent="0.25">
      <c r="A14" s="22"/>
      <c r="B14" s="22"/>
      <c r="C14" s="22"/>
      <c r="D14" s="22"/>
      <c r="E14" s="33"/>
      <c r="F14" s="5" t="s">
        <v>20</v>
      </c>
      <c r="G14" s="19"/>
      <c r="H14" s="19"/>
      <c r="I14" s="24"/>
      <c r="K14" s="15" t="s">
        <v>81</v>
      </c>
      <c r="L14" s="16" t="s">
        <v>85</v>
      </c>
      <c r="M14" s="16" t="s">
        <v>85</v>
      </c>
      <c r="N14" s="16" t="s">
        <v>85</v>
      </c>
      <c r="O14" s="16" t="s">
        <v>85</v>
      </c>
    </row>
    <row r="15" spans="1:15" s="6" customFormat="1" x14ac:dyDescent="0.25">
      <c r="A15" s="22"/>
      <c r="B15" s="22"/>
      <c r="C15" s="22"/>
      <c r="D15" s="22"/>
      <c r="E15" s="33"/>
      <c r="F15" s="5" t="s">
        <v>66</v>
      </c>
      <c r="G15" s="19"/>
      <c r="H15" s="19"/>
      <c r="I15" s="24"/>
      <c r="K15" s="15" t="s">
        <v>82</v>
      </c>
      <c r="L15" s="16" t="s">
        <v>85</v>
      </c>
      <c r="M15" s="16" t="s">
        <v>85</v>
      </c>
      <c r="N15" s="16" t="s">
        <v>85</v>
      </c>
      <c r="O15" s="16" t="s">
        <v>85</v>
      </c>
    </row>
    <row r="16" spans="1:15" s="6" customFormat="1" x14ac:dyDescent="0.25">
      <c r="A16" s="22"/>
      <c r="B16" s="22"/>
      <c r="C16" s="22"/>
      <c r="D16" s="22"/>
      <c r="E16" s="33"/>
      <c r="F16" s="5" t="s">
        <v>64</v>
      </c>
      <c r="G16" s="19"/>
      <c r="H16" s="19"/>
      <c r="I16" s="24"/>
      <c r="K16" s="15" t="s">
        <v>83</v>
      </c>
      <c r="L16" s="16" t="s">
        <v>85</v>
      </c>
      <c r="M16" s="16" t="s">
        <v>85</v>
      </c>
      <c r="N16" s="16" t="s">
        <v>85</v>
      </c>
      <c r="O16" s="16" t="s">
        <v>85</v>
      </c>
    </row>
    <row r="17" spans="1:15" s="6" customFormat="1" x14ac:dyDescent="0.25">
      <c r="A17" s="22"/>
      <c r="B17" s="22"/>
      <c r="C17" s="22"/>
      <c r="D17" s="22"/>
      <c r="E17" s="33"/>
      <c r="F17" s="5" t="s">
        <v>23</v>
      </c>
      <c r="G17" s="19"/>
      <c r="H17" s="19"/>
      <c r="I17" s="24"/>
      <c r="K17" s="15" t="s">
        <v>25</v>
      </c>
      <c r="L17" s="16" t="s">
        <v>85</v>
      </c>
      <c r="M17" s="16" t="s">
        <v>84</v>
      </c>
      <c r="N17" s="16" t="s">
        <v>85</v>
      </c>
      <c r="O17" s="16" t="s">
        <v>85</v>
      </c>
    </row>
    <row r="18" spans="1:15" s="6" customFormat="1" x14ac:dyDescent="0.25">
      <c r="A18" s="22"/>
      <c r="B18" s="22"/>
      <c r="C18" s="23"/>
      <c r="D18" s="23"/>
      <c r="E18" s="34"/>
      <c r="F18" s="5" t="s">
        <v>26</v>
      </c>
      <c r="G18" s="20"/>
      <c r="H18" s="20"/>
      <c r="I18" s="24"/>
    </row>
    <row r="19" spans="1:15" s="6" customFormat="1" ht="29.25" customHeight="1" x14ac:dyDescent="0.25">
      <c r="A19" s="23"/>
      <c r="B19" s="23"/>
      <c r="C19" s="5">
        <v>841060416</v>
      </c>
      <c r="D19" s="7">
        <v>43256</v>
      </c>
      <c r="E19" s="13" t="s">
        <v>65</v>
      </c>
      <c r="F19" s="5" t="s">
        <v>38</v>
      </c>
      <c r="G19" s="10"/>
      <c r="H19" s="10">
        <v>149</v>
      </c>
    </row>
    <row r="20" spans="1:15" s="6" customFormat="1" x14ac:dyDescent="0.25">
      <c r="A20" s="21" t="s">
        <v>72</v>
      </c>
      <c r="B20" s="21" t="s">
        <v>32</v>
      </c>
      <c r="C20" s="21">
        <v>98762081235</v>
      </c>
      <c r="D20" s="29">
        <v>45017</v>
      </c>
      <c r="E20" s="26" t="s">
        <v>65</v>
      </c>
      <c r="F20" s="5" t="s">
        <v>13</v>
      </c>
      <c r="G20" s="18"/>
      <c r="H20" s="18"/>
      <c r="I20" s="24"/>
    </row>
    <row r="21" spans="1:15" s="6" customFormat="1" x14ac:dyDescent="0.25">
      <c r="A21" s="22"/>
      <c r="B21" s="22"/>
      <c r="C21" s="22"/>
      <c r="D21" s="30"/>
      <c r="E21" s="27"/>
      <c r="F21" s="5" t="s">
        <v>20</v>
      </c>
      <c r="G21" s="19"/>
      <c r="H21" s="19"/>
      <c r="I21" s="24"/>
    </row>
    <row r="22" spans="1:15" s="6" customFormat="1" x14ac:dyDescent="0.25">
      <c r="A22" s="22"/>
      <c r="B22" s="22"/>
      <c r="C22" s="22"/>
      <c r="D22" s="30"/>
      <c r="E22" s="27"/>
      <c r="F22" s="5" t="s">
        <v>21</v>
      </c>
      <c r="G22" s="19"/>
      <c r="H22" s="19"/>
      <c r="I22" s="24"/>
    </row>
    <row r="23" spans="1:15" s="6" customFormat="1" x14ac:dyDescent="0.25">
      <c r="A23" s="22"/>
      <c r="B23" s="22"/>
      <c r="C23" s="22"/>
      <c r="D23" s="30"/>
      <c r="E23" s="27"/>
      <c r="F23" s="5" t="s">
        <v>22</v>
      </c>
      <c r="G23" s="19"/>
      <c r="H23" s="19"/>
      <c r="I23" s="24"/>
    </row>
    <row r="24" spans="1:15" s="6" customFormat="1" x14ac:dyDescent="0.25">
      <c r="A24" s="22"/>
      <c r="B24" s="22"/>
      <c r="C24" s="22"/>
      <c r="D24" s="30"/>
      <c r="E24" s="27"/>
      <c r="F24" s="5" t="s">
        <v>23</v>
      </c>
      <c r="G24" s="19"/>
      <c r="H24" s="19"/>
      <c r="I24" s="24"/>
    </row>
    <row r="25" spans="1:15" s="6" customFormat="1" x14ac:dyDescent="0.25">
      <c r="A25" s="22"/>
      <c r="B25" s="22"/>
      <c r="C25" s="22"/>
      <c r="D25" s="30"/>
      <c r="E25" s="27"/>
      <c r="F25" s="5" t="s">
        <v>36</v>
      </c>
      <c r="G25" s="19"/>
      <c r="H25" s="19"/>
      <c r="I25" s="24"/>
    </row>
    <row r="26" spans="1:15" s="6" customFormat="1" x14ac:dyDescent="0.25">
      <c r="A26" s="23"/>
      <c r="B26" s="23"/>
      <c r="C26" s="23"/>
      <c r="D26" s="31"/>
      <c r="E26" s="28"/>
      <c r="F26" s="5" t="s">
        <v>35</v>
      </c>
      <c r="G26" s="20"/>
      <c r="H26" s="20"/>
      <c r="I26" s="24"/>
    </row>
    <row r="27" spans="1:15" x14ac:dyDescent="0.25">
      <c r="H27" s="11">
        <f>SUM(H10:H26)</f>
        <v>652.49</v>
      </c>
    </row>
  </sheetData>
  <mergeCells count="24">
    <mergeCell ref="A3:H3"/>
    <mergeCell ref="A1:H2"/>
    <mergeCell ref="A20:A26"/>
    <mergeCell ref="D20:D26"/>
    <mergeCell ref="D13:D18"/>
    <mergeCell ref="H13:H18"/>
    <mergeCell ref="C13:C18"/>
    <mergeCell ref="E13:E18"/>
    <mergeCell ref="G13:G18"/>
    <mergeCell ref="A5:A6"/>
    <mergeCell ref="A10:A12"/>
    <mergeCell ref="B10:B12"/>
    <mergeCell ref="A13:A19"/>
    <mergeCell ref="B13:B19"/>
    <mergeCell ref="B5:B6"/>
    <mergeCell ref="A8:H8"/>
    <mergeCell ref="K4:O4"/>
    <mergeCell ref="H20:H26"/>
    <mergeCell ref="C20:C26"/>
    <mergeCell ref="B20:B26"/>
    <mergeCell ref="I20:I26"/>
    <mergeCell ref="E20:E26"/>
    <mergeCell ref="G20:G26"/>
    <mergeCell ref="I13:I18"/>
  </mergeCells>
  <conditionalFormatting sqref="A1 A5:D5 F5:H6 C6:D6 A10:D10 F10:H13 C11:D12 A13:D13 F14:F18 C19:D19 F19:H20 A20:D20 F21:F26 A27:D1048576 F27:H1048576">
    <cfRule type="expression" dxfId="11" priority="16">
      <formula>#REF!="תחום - כללי"</formula>
    </cfRule>
    <cfRule type="expression" dxfId="10" priority="17">
      <formula>#REF!="תחום - חיים ואבדן כושר עבודה"</formula>
    </cfRule>
    <cfRule type="expression" dxfId="9" priority="18">
      <formula>#REF!="תחום - בריאות ותאונות אישיות"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A795-C244-4B30-BF6B-7942C32D73FA}">
  <sheetPr filterMode="1"/>
  <dimension ref="A2:I25"/>
  <sheetViews>
    <sheetView rightToLeft="1" workbookViewId="0">
      <selection activeCell="I33" sqref="I33"/>
    </sheetView>
  </sheetViews>
  <sheetFormatPr defaultRowHeight="15" x14ac:dyDescent="0.25"/>
  <cols>
    <col min="1" max="1" width="18.28515625" bestFit="1" customWidth="1"/>
    <col min="2" max="2" width="22.28515625" customWidth="1"/>
    <col min="3" max="4" width="16.7109375" customWidth="1"/>
    <col min="5" max="5" width="22" customWidth="1"/>
    <col min="6" max="6" width="20.42578125" customWidth="1"/>
    <col min="7" max="7" width="15.42578125" customWidth="1"/>
    <col min="8" max="8" width="18.140625" customWidth="1"/>
    <col min="9" max="9" width="15.42578125" customWidth="1"/>
  </cols>
  <sheetData>
    <row r="2" spans="1:9" ht="13.5" customHeight="1" x14ac:dyDescent="0.25">
      <c r="B2" s="36" t="s">
        <v>0</v>
      </c>
      <c r="C2" s="37"/>
      <c r="D2" s="37"/>
      <c r="E2" s="37"/>
      <c r="F2" s="3" t="s">
        <v>30</v>
      </c>
    </row>
    <row r="4" spans="1:9" ht="33" customHeight="1" x14ac:dyDescent="0.25">
      <c r="A4" s="1" t="s">
        <v>9</v>
      </c>
      <c r="B4" s="1" t="s">
        <v>1</v>
      </c>
      <c r="C4" s="1" t="s">
        <v>2</v>
      </c>
      <c r="D4" s="1" t="s">
        <v>6</v>
      </c>
      <c r="E4" s="1" t="s">
        <v>3</v>
      </c>
      <c r="F4" s="1" t="s">
        <v>7</v>
      </c>
      <c r="G4" s="1" t="s">
        <v>8</v>
      </c>
      <c r="H4" s="1" t="s">
        <v>4</v>
      </c>
      <c r="I4" s="1" t="s">
        <v>5</v>
      </c>
    </row>
    <row r="5" spans="1:9" hidden="1" x14ac:dyDescent="0.25">
      <c r="A5" s="2"/>
      <c r="B5" s="2" t="s">
        <v>55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hidden="1" x14ac:dyDescent="0.25">
      <c r="A6" s="2" t="s">
        <v>65</v>
      </c>
      <c r="B6" s="2" t="s">
        <v>51</v>
      </c>
      <c r="C6" s="2" t="s">
        <v>54</v>
      </c>
      <c r="D6" s="2" t="s">
        <v>14</v>
      </c>
      <c r="E6" s="2" t="s">
        <v>44</v>
      </c>
      <c r="F6" s="2" t="s">
        <v>48</v>
      </c>
      <c r="G6" s="2">
        <v>1473</v>
      </c>
      <c r="H6" s="2">
        <v>1427086624</v>
      </c>
      <c r="I6" s="2" t="s">
        <v>17</v>
      </c>
    </row>
    <row r="7" spans="1:9" hidden="1" x14ac:dyDescent="0.25">
      <c r="A7" s="2" t="s">
        <v>65</v>
      </c>
      <c r="B7" s="2" t="s">
        <v>51</v>
      </c>
      <c r="C7" s="2" t="s">
        <v>50</v>
      </c>
      <c r="D7" s="2" t="s">
        <v>14</v>
      </c>
      <c r="E7" s="2" t="s">
        <v>44</v>
      </c>
      <c r="F7" s="2" t="s">
        <v>48</v>
      </c>
      <c r="G7" s="2">
        <v>2704.53</v>
      </c>
      <c r="H7" s="2">
        <v>1427086624</v>
      </c>
      <c r="I7" s="2" t="s">
        <v>17</v>
      </c>
    </row>
    <row r="8" spans="1:9" hidden="1" x14ac:dyDescent="0.25">
      <c r="A8" s="2" t="s">
        <v>65</v>
      </c>
      <c r="B8" s="2" t="s">
        <v>51</v>
      </c>
      <c r="C8" s="2" t="s">
        <v>50</v>
      </c>
      <c r="D8" s="2" t="s">
        <v>53</v>
      </c>
      <c r="E8" s="2" t="s">
        <v>44</v>
      </c>
      <c r="F8" s="2" t="s">
        <v>48</v>
      </c>
      <c r="G8" s="2">
        <v>264.54000000000002</v>
      </c>
      <c r="H8" s="2">
        <v>1427086624</v>
      </c>
      <c r="I8" s="2" t="s">
        <v>17</v>
      </c>
    </row>
    <row r="9" spans="1:9" hidden="1" x14ac:dyDescent="0.25">
      <c r="A9" s="2" t="s">
        <v>65</v>
      </c>
      <c r="B9" s="2" t="s">
        <v>51</v>
      </c>
      <c r="C9" s="2" t="s">
        <v>50</v>
      </c>
      <c r="D9" s="2" t="s">
        <v>52</v>
      </c>
      <c r="E9" s="2" t="s">
        <v>44</v>
      </c>
      <c r="F9" s="2" t="s">
        <v>48</v>
      </c>
      <c r="G9" s="2">
        <v>129.63</v>
      </c>
      <c r="H9" s="2">
        <v>1427086624</v>
      </c>
      <c r="I9" s="2" t="s">
        <v>17</v>
      </c>
    </row>
    <row r="10" spans="1:9" hidden="1" x14ac:dyDescent="0.25">
      <c r="A10" s="2" t="s">
        <v>65</v>
      </c>
      <c r="B10" s="2" t="s">
        <v>51</v>
      </c>
      <c r="C10" s="2" t="s">
        <v>50</v>
      </c>
      <c r="D10" s="2" t="s">
        <v>49</v>
      </c>
      <c r="E10" s="2" t="s">
        <v>44</v>
      </c>
      <c r="F10" s="2" t="s">
        <v>48</v>
      </c>
      <c r="G10" s="2">
        <v>101.3</v>
      </c>
      <c r="H10" s="2">
        <v>1427086624</v>
      </c>
      <c r="I10" s="2" t="s">
        <v>17</v>
      </c>
    </row>
    <row r="11" spans="1:9" hidden="1" x14ac:dyDescent="0.25">
      <c r="A11" s="2" t="s">
        <v>65</v>
      </c>
      <c r="B11" s="2" t="s">
        <v>47</v>
      </c>
      <c r="C11" s="2" t="s">
        <v>46</v>
      </c>
      <c r="D11" s="2" t="s">
        <v>14</v>
      </c>
      <c r="E11" s="2" t="s">
        <v>44</v>
      </c>
      <c r="F11" s="2" t="s">
        <v>43</v>
      </c>
      <c r="G11" s="2">
        <v>962.42</v>
      </c>
      <c r="H11" s="2">
        <v>31139731725</v>
      </c>
      <c r="I11" s="2" t="s">
        <v>17</v>
      </c>
    </row>
    <row r="12" spans="1:9" hidden="1" x14ac:dyDescent="0.25">
      <c r="A12" s="2" t="s">
        <v>65</v>
      </c>
      <c r="B12" s="2" t="s">
        <v>47</v>
      </c>
      <c r="C12" s="2" t="s">
        <v>46</v>
      </c>
      <c r="D12" s="2" t="s">
        <v>45</v>
      </c>
      <c r="E12" s="2" t="s">
        <v>44</v>
      </c>
      <c r="F12" s="2" t="s">
        <v>43</v>
      </c>
      <c r="G12" s="2">
        <v>256.58</v>
      </c>
      <c r="H12" s="2">
        <v>31139731725</v>
      </c>
      <c r="I12" s="2" t="s">
        <v>17</v>
      </c>
    </row>
    <row r="13" spans="1:9" hidden="1" x14ac:dyDescent="0.25">
      <c r="A13" s="2" t="s">
        <v>65</v>
      </c>
      <c r="B13" s="2" t="s">
        <v>10</v>
      </c>
      <c r="C13" s="2" t="s">
        <v>11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11</v>
      </c>
      <c r="I13" s="2" t="s">
        <v>11</v>
      </c>
    </row>
    <row r="14" spans="1:9" hidden="1" x14ac:dyDescent="0.25">
      <c r="A14" s="2" t="s">
        <v>65</v>
      </c>
      <c r="B14" s="2" t="s">
        <v>42</v>
      </c>
      <c r="C14" s="2" t="s">
        <v>41</v>
      </c>
      <c r="D14" s="2" t="s">
        <v>14</v>
      </c>
      <c r="E14" s="2" t="s">
        <v>15</v>
      </c>
      <c r="F14" s="2" t="s">
        <v>16</v>
      </c>
      <c r="G14" s="2">
        <v>57.81</v>
      </c>
      <c r="H14" s="2">
        <v>305949703</v>
      </c>
      <c r="I14" s="2" t="s">
        <v>40</v>
      </c>
    </row>
    <row r="15" spans="1:9" x14ac:dyDescent="0.25">
      <c r="A15" s="2" t="s">
        <v>65</v>
      </c>
      <c r="B15" s="2" t="s">
        <v>12</v>
      </c>
      <c r="C15" s="2" t="s">
        <v>13</v>
      </c>
      <c r="D15" s="2" t="s">
        <v>13</v>
      </c>
      <c r="E15" s="2" t="s">
        <v>34</v>
      </c>
      <c r="F15" s="2" t="s">
        <v>33</v>
      </c>
      <c r="G15" s="2">
        <v>0</v>
      </c>
      <c r="H15" s="2">
        <v>98762081235</v>
      </c>
      <c r="I15" s="2" t="s">
        <v>32</v>
      </c>
    </row>
    <row r="16" spans="1:9" hidden="1" x14ac:dyDescent="0.25">
      <c r="A16" s="2" t="s">
        <v>65</v>
      </c>
      <c r="B16" s="2" t="s">
        <v>12</v>
      </c>
      <c r="C16" s="2" t="s">
        <v>38</v>
      </c>
      <c r="D16" s="2" t="s">
        <v>14</v>
      </c>
      <c r="E16" s="2" t="s">
        <v>15</v>
      </c>
      <c r="F16" s="2" t="s">
        <v>39</v>
      </c>
      <c r="G16" s="2">
        <v>67.88</v>
      </c>
      <c r="H16" s="2">
        <v>841060416</v>
      </c>
      <c r="I16" s="2" t="s">
        <v>17</v>
      </c>
    </row>
    <row r="17" spans="1:9" hidden="1" x14ac:dyDescent="0.25">
      <c r="A17" s="2" t="s">
        <v>65</v>
      </c>
      <c r="B17" s="2" t="s">
        <v>12</v>
      </c>
      <c r="C17" s="2" t="s">
        <v>38</v>
      </c>
      <c r="D17" s="2" t="s">
        <v>14</v>
      </c>
      <c r="E17" s="2" t="s">
        <v>15</v>
      </c>
      <c r="F17" s="2" t="s">
        <v>37</v>
      </c>
      <c r="G17" s="2">
        <v>81.34</v>
      </c>
      <c r="H17" s="2">
        <v>841060416</v>
      </c>
      <c r="I17" s="2" t="s">
        <v>17</v>
      </c>
    </row>
    <row r="18" spans="1:9" x14ac:dyDescent="0.25">
      <c r="A18" s="2" t="s">
        <v>65</v>
      </c>
      <c r="B18" s="2" t="s">
        <v>12</v>
      </c>
      <c r="C18" s="2" t="s">
        <v>20</v>
      </c>
      <c r="D18" s="2" t="s">
        <v>20</v>
      </c>
      <c r="E18" s="2" t="s">
        <v>34</v>
      </c>
      <c r="F18" s="2" t="s">
        <v>33</v>
      </c>
      <c r="G18" s="2">
        <v>0</v>
      </c>
      <c r="H18" s="2">
        <v>98762081235</v>
      </c>
      <c r="I18" s="2" t="s">
        <v>32</v>
      </c>
    </row>
    <row r="19" spans="1:9" x14ac:dyDescent="0.25">
      <c r="A19" s="2" t="s">
        <v>65</v>
      </c>
      <c r="B19" s="2" t="s">
        <v>12</v>
      </c>
      <c r="C19" s="2" t="s">
        <v>21</v>
      </c>
      <c r="D19" s="2" t="s">
        <v>21</v>
      </c>
      <c r="E19" s="2" t="s">
        <v>34</v>
      </c>
      <c r="F19" s="2" t="s">
        <v>33</v>
      </c>
      <c r="G19" s="2">
        <v>0</v>
      </c>
      <c r="H19" s="2">
        <v>98762081235</v>
      </c>
      <c r="I19" s="2" t="s">
        <v>32</v>
      </c>
    </row>
    <row r="20" spans="1:9" x14ac:dyDescent="0.25">
      <c r="A20" s="2" t="s">
        <v>65</v>
      </c>
      <c r="B20" s="2" t="s">
        <v>12</v>
      </c>
      <c r="C20" s="2" t="s">
        <v>22</v>
      </c>
      <c r="D20" s="2" t="s">
        <v>22</v>
      </c>
      <c r="E20" s="2" t="s">
        <v>34</v>
      </c>
      <c r="F20" s="2" t="s">
        <v>33</v>
      </c>
      <c r="G20" s="2">
        <v>0</v>
      </c>
      <c r="H20" s="2">
        <v>98762081235</v>
      </c>
      <c r="I20" s="2" t="s">
        <v>32</v>
      </c>
    </row>
    <row r="21" spans="1:9" x14ac:dyDescent="0.25">
      <c r="A21" s="2" t="s">
        <v>65</v>
      </c>
      <c r="B21" s="2" t="s">
        <v>12</v>
      </c>
      <c r="C21" s="2" t="s">
        <v>23</v>
      </c>
      <c r="D21" s="2" t="s">
        <v>23</v>
      </c>
      <c r="E21" s="2" t="s">
        <v>34</v>
      </c>
      <c r="F21" s="2" t="s">
        <v>33</v>
      </c>
      <c r="G21" s="2">
        <v>0</v>
      </c>
      <c r="H21" s="2">
        <v>98762081235</v>
      </c>
      <c r="I21" s="2" t="s">
        <v>32</v>
      </c>
    </row>
    <row r="22" spans="1:9" x14ac:dyDescent="0.25">
      <c r="A22" s="2" t="s">
        <v>65</v>
      </c>
      <c r="B22" s="2" t="s">
        <v>12</v>
      </c>
      <c r="C22" s="2" t="s">
        <v>36</v>
      </c>
      <c r="D22" s="2" t="s">
        <v>36</v>
      </c>
      <c r="E22" s="2" t="s">
        <v>34</v>
      </c>
      <c r="F22" s="2" t="s">
        <v>33</v>
      </c>
      <c r="G22" s="2">
        <v>0</v>
      </c>
      <c r="H22" s="2">
        <v>98762081235</v>
      </c>
      <c r="I22" s="2" t="s">
        <v>32</v>
      </c>
    </row>
    <row r="23" spans="1:9" x14ac:dyDescent="0.25">
      <c r="A23" s="2" t="s">
        <v>65</v>
      </c>
      <c r="B23" s="2" t="s">
        <v>12</v>
      </c>
      <c r="C23" s="2" t="s">
        <v>35</v>
      </c>
      <c r="D23" s="2" t="s">
        <v>14</v>
      </c>
      <c r="E23" s="2" t="s">
        <v>34</v>
      </c>
      <c r="F23" s="2" t="s">
        <v>33</v>
      </c>
      <c r="G23" s="2">
        <v>0</v>
      </c>
      <c r="H23" s="2">
        <v>98762081235</v>
      </c>
      <c r="I23" s="2" t="s">
        <v>32</v>
      </c>
    </row>
    <row r="24" spans="1:9" hidden="1" x14ac:dyDescent="0.25">
      <c r="A24" s="2" t="s">
        <v>65</v>
      </c>
      <c r="B24" s="2" t="s">
        <v>27</v>
      </c>
      <c r="C24" s="2" t="s">
        <v>11</v>
      </c>
      <c r="D24" s="2" t="s">
        <v>11</v>
      </c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</row>
    <row r="25" spans="1:9" hidden="1" x14ac:dyDescent="0.25">
      <c r="A25" s="2" t="s">
        <v>65</v>
      </c>
      <c r="B25" s="2" t="s">
        <v>28</v>
      </c>
      <c r="C25" s="2" t="s">
        <v>29</v>
      </c>
      <c r="D25" s="2" t="s">
        <v>14</v>
      </c>
      <c r="E25" s="2" t="s">
        <v>19</v>
      </c>
      <c r="F25" s="2" t="s">
        <v>31</v>
      </c>
      <c r="G25" s="2">
        <v>117.05</v>
      </c>
      <c r="H25" s="2">
        <v>23155244</v>
      </c>
      <c r="I25" s="2" t="s">
        <v>17</v>
      </c>
    </row>
  </sheetData>
  <autoFilter ref="A4:I25" xr:uid="{2C92A795-C244-4B30-BF6B-7942C32D73FA}">
    <filterColumn colId="1">
      <filters>
        <filter val="ביטוח בריאות"/>
        <filter val="ביטוח חיים"/>
        <filter val="ביטוח סיעודי"/>
      </filters>
    </filterColumn>
    <filterColumn colId="7">
      <filters>
        <filter val="98762081235"/>
      </filters>
    </filterColumn>
  </autoFilter>
  <mergeCells count="1">
    <mergeCell ref="B2:E2"/>
  </mergeCells>
  <conditionalFormatting sqref="A5 B5:I1048576">
    <cfRule type="expression" dxfId="8" priority="1">
      <formula>$B5="תחום - כללי"</formula>
    </cfRule>
    <cfRule type="expression" dxfId="7" priority="2">
      <formula>$B5="תחום - חיים ואבדן כושר עבודה"</formula>
    </cfRule>
    <cfRule type="expression" dxfId="6" priority="3">
      <formula>$B5="תחום - בריאות ותאונות אישיות"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A439-6B74-4A9A-A7C2-AF74EDBE361D}">
  <sheetPr filterMode="1"/>
  <dimension ref="A2:I14"/>
  <sheetViews>
    <sheetView rightToLeft="1" workbookViewId="0">
      <selection activeCell="F34" sqref="F34"/>
    </sheetView>
  </sheetViews>
  <sheetFormatPr defaultRowHeight="15" x14ac:dyDescent="0.25"/>
  <cols>
    <col min="1" max="1" width="18.28515625" bestFit="1" customWidth="1"/>
    <col min="2" max="2" width="22.28515625" customWidth="1"/>
    <col min="3" max="4" width="16.7109375" customWidth="1"/>
    <col min="5" max="5" width="22" customWidth="1"/>
    <col min="6" max="6" width="20.42578125" customWidth="1"/>
    <col min="7" max="7" width="15.42578125" customWidth="1"/>
    <col min="8" max="8" width="18.140625" customWidth="1"/>
    <col min="9" max="9" width="15.42578125" customWidth="1"/>
  </cols>
  <sheetData>
    <row r="2" spans="1:9" ht="13.5" customHeight="1" x14ac:dyDescent="0.25">
      <c r="B2" s="36" t="s">
        <v>0</v>
      </c>
      <c r="C2" s="37"/>
      <c r="D2" s="37"/>
      <c r="E2" s="37"/>
      <c r="F2" s="3" t="s">
        <v>57</v>
      </c>
    </row>
    <row r="4" spans="1:9" ht="33" customHeight="1" x14ac:dyDescent="0.25">
      <c r="A4" s="1" t="s">
        <v>9</v>
      </c>
      <c r="B4" s="1" t="s">
        <v>1</v>
      </c>
      <c r="C4" s="1" t="s">
        <v>2</v>
      </c>
      <c r="D4" s="1" t="s">
        <v>6</v>
      </c>
      <c r="E4" s="1" t="s">
        <v>3</v>
      </c>
      <c r="F4" s="1" t="s">
        <v>7</v>
      </c>
      <c r="G4" s="1" t="s">
        <v>8</v>
      </c>
      <c r="H4" s="1" t="s">
        <v>4</v>
      </c>
      <c r="I4" s="1" t="s">
        <v>5</v>
      </c>
    </row>
    <row r="5" spans="1:9" hidden="1" x14ac:dyDescent="0.25">
      <c r="A5" s="2"/>
      <c r="B5" s="2" t="s">
        <v>10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x14ac:dyDescent="0.25">
      <c r="A6" s="2" t="s">
        <v>68</v>
      </c>
      <c r="B6" s="2" t="s">
        <v>42</v>
      </c>
      <c r="C6" s="2" t="s">
        <v>41</v>
      </c>
      <c r="D6" s="2" t="s">
        <v>14</v>
      </c>
      <c r="E6" s="2" t="s">
        <v>34</v>
      </c>
      <c r="F6" s="2" t="s">
        <v>56</v>
      </c>
      <c r="G6" s="2">
        <v>0</v>
      </c>
      <c r="H6" s="2">
        <v>806683827</v>
      </c>
      <c r="I6" s="2" t="s">
        <v>40</v>
      </c>
    </row>
    <row r="7" spans="1:9" hidden="1" x14ac:dyDescent="0.25">
      <c r="A7" s="2" t="s">
        <v>68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>
        <v>10.29</v>
      </c>
      <c r="H7" s="2">
        <v>504576535</v>
      </c>
      <c r="I7" s="2" t="s">
        <v>17</v>
      </c>
    </row>
    <row r="8" spans="1:9" hidden="1" x14ac:dyDescent="0.25">
      <c r="A8" s="2" t="s">
        <v>68</v>
      </c>
      <c r="B8" s="2" t="s">
        <v>12</v>
      </c>
      <c r="C8" s="2" t="s">
        <v>18</v>
      </c>
      <c r="D8" s="2" t="s">
        <v>14</v>
      </c>
      <c r="E8" s="2" t="s">
        <v>19</v>
      </c>
      <c r="F8" s="2" t="s">
        <v>16</v>
      </c>
      <c r="G8" s="2">
        <v>10.85</v>
      </c>
      <c r="H8" s="2">
        <v>23153981</v>
      </c>
      <c r="I8" s="2" t="s">
        <v>17</v>
      </c>
    </row>
    <row r="9" spans="1:9" hidden="1" x14ac:dyDescent="0.25">
      <c r="A9" s="2" t="s">
        <v>68</v>
      </c>
      <c r="B9" s="2" t="s">
        <v>12</v>
      </c>
      <c r="C9" s="2" t="s">
        <v>20</v>
      </c>
      <c r="D9" s="2" t="s">
        <v>14</v>
      </c>
      <c r="E9" s="2" t="s">
        <v>15</v>
      </c>
      <c r="F9" s="2" t="s">
        <v>16</v>
      </c>
      <c r="G9" s="2">
        <v>9.0500000000000007</v>
      </c>
      <c r="H9" s="2">
        <v>504576535</v>
      </c>
      <c r="I9" s="2" t="s">
        <v>17</v>
      </c>
    </row>
    <row r="10" spans="1:9" hidden="1" x14ac:dyDescent="0.25">
      <c r="A10" s="2" t="s">
        <v>68</v>
      </c>
      <c r="B10" s="2" t="s">
        <v>12</v>
      </c>
      <c r="C10" s="2" t="s">
        <v>21</v>
      </c>
      <c r="D10" s="2" t="s">
        <v>14</v>
      </c>
      <c r="E10" s="2" t="s">
        <v>15</v>
      </c>
      <c r="F10" s="2" t="s">
        <v>16</v>
      </c>
      <c r="G10" s="2">
        <v>37.17</v>
      </c>
      <c r="H10" s="2">
        <v>504576535</v>
      </c>
      <c r="I10" s="2" t="s">
        <v>17</v>
      </c>
    </row>
    <row r="11" spans="1:9" hidden="1" x14ac:dyDescent="0.25">
      <c r="A11" s="2" t="s">
        <v>68</v>
      </c>
      <c r="B11" s="2" t="s">
        <v>12</v>
      </c>
      <c r="C11" s="2" t="s">
        <v>22</v>
      </c>
      <c r="D11" s="2" t="s">
        <v>14</v>
      </c>
      <c r="E11" s="2" t="s">
        <v>15</v>
      </c>
      <c r="F11" s="2" t="s">
        <v>16</v>
      </c>
      <c r="G11" s="2">
        <v>5.28</v>
      </c>
      <c r="H11" s="2">
        <v>504576535</v>
      </c>
      <c r="I11" s="2" t="s">
        <v>17</v>
      </c>
    </row>
    <row r="12" spans="1:9" hidden="1" x14ac:dyDescent="0.25">
      <c r="A12" s="2" t="s">
        <v>68</v>
      </c>
      <c r="B12" s="2" t="s">
        <v>12</v>
      </c>
      <c r="C12" s="2" t="s">
        <v>23</v>
      </c>
      <c r="D12" s="2" t="s">
        <v>14</v>
      </c>
      <c r="E12" s="2" t="s">
        <v>15</v>
      </c>
      <c r="F12" s="2" t="s">
        <v>16</v>
      </c>
      <c r="G12" s="2">
        <v>4.3099999999999996</v>
      </c>
      <c r="H12" s="2">
        <v>504576535</v>
      </c>
      <c r="I12" s="2" t="s">
        <v>17</v>
      </c>
    </row>
    <row r="13" spans="1:9" hidden="1" x14ac:dyDescent="0.25">
      <c r="A13" s="2" t="s">
        <v>68</v>
      </c>
      <c r="B13" s="2" t="s">
        <v>12</v>
      </c>
      <c r="C13" s="2" t="s">
        <v>24</v>
      </c>
      <c r="D13" s="2" t="s">
        <v>14</v>
      </c>
      <c r="E13" s="2" t="s">
        <v>15</v>
      </c>
      <c r="F13" s="2" t="s">
        <v>16</v>
      </c>
      <c r="G13" s="2">
        <v>2.85</v>
      </c>
      <c r="H13" s="2">
        <v>504576535</v>
      </c>
      <c r="I13" s="2" t="s">
        <v>17</v>
      </c>
    </row>
    <row r="14" spans="1:9" hidden="1" x14ac:dyDescent="0.25">
      <c r="A14" s="2" t="s">
        <v>68</v>
      </c>
      <c r="B14" s="2" t="s">
        <v>25</v>
      </c>
      <c r="C14" s="2" t="s">
        <v>26</v>
      </c>
      <c r="D14" s="2" t="s">
        <v>14</v>
      </c>
      <c r="E14" s="2" t="s">
        <v>15</v>
      </c>
      <c r="F14" s="2" t="s">
        <v>16</v>
      </c>
      <c r="G14" s="2">
        <v>8.11</v>
      </c>
      <c r="H14" s="2">
        <v>504576535</v>
      </c>
      <c r="I14" s="2" t="s">
        <v>17</v>
      </c>
    </row>
  </sheetData>
  <autoFilter ref="A4:I14" xr:uid="{176FA439-6B74-4A9A-A7C2-AF74EDBE361D}">
    <filterColumn colId="7">
      <filters>
        <filter val="806683827"/>
      </filters>
    </filterColumn>
  </autoFilter>
  <mergeCells count="1">
    <mergeCell ref="B2:E2"/>
  </mergeCells>
  <conditionalFormatting sqref="A5 B5:I1048576">
    <cfRule type="expression" dxfId="5" priority="1">
      <formula>$B5="תחום - כללי"</formula>
    </cfRule>
    <cfRule type="expression" dxfId="4" priority="2">
      <formula>$B5="תחום - חיים ואבדן כושר עבודה"</formula>
    </cfRule>
    <cfRule type="expression" dxfId="3" priority="3">
      <formula>$B5="תחום - בריאות ותאונות אישיות"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A695-0998-4E44-AC26-E46FD0F5FC24}">
  <sheetPr filterMode="1"/>
  <dimension ref="A2:I14"/>
  <sheetViews>
    <sheetView rightToLeft="1" workbookViewId="0">
      <selection activeCell="C40" sqref="C40"/>
    </sheetView>
  </sheetViews>
  <sheetFormatPr defaultRowHeight="15" x14ac:dyDescent="0.25"/>
  <cols>
    <col min="1" max="1" width="18.28515625" bestFit="1" customWidth="1"/>
    <col min="2" max="2" width="22.28515625" customWidth="1"/>
    <col min="3" max="4" width="16.7109375" customWidth="1"/>
    <col min="5" max="5" width="22" customWidth="1"/>
    <col min="6" max="6" width="20.42578125" customWidth="1"/>
    <col min="7" max="7" width="15.42578125" customWidth="1"/>
    <col min="8" max="8" width="18.140625" customWidth="1"/>
    <col min="9" max="9" width="15.42578125" customWidth="1"/>
  </cols>
  <sheetData>
    <row r="2" spans="1:9" ht="13.5" customHeight="1" x14ac:dyDescent="0.25">
      <c r="B2" s="36" t="s">
        <v>0</v>
      </c>
      <c r="C2" s="37"/>
      <c r="D2" s="37"/>
      <c r="E2" s="37"/>
      <c r="F2" s="3" t="s">
        <v>57</v>
      </c>
    </row>
    <row r="4" spans="1:9" ht="33" customHeight="1" x14ac:dyDescent="0.25">
      <c r="A4" s="1" t="s">
        <v>9</v>
      </c>
      <c r="B4" s="1" t="s">
        <v>1</v>
      </c>
      <c r="C4" s="1" t="s">
        <v>2</v>
      </c>
      <c r="D4" s="1" t="s">
        <v>6</v>
      </c>
      <c r="E4" s="1" t="s">
        <v>3</v>
      </c>
      <c r="F4" s="1" t="s">
        <v>7</v>
      </c>
      <c r="G4" s="1" t="s">
        <v>8</v>
      </c>
      <c r="H4" s="1" t="s">
        <v>4</v>
      </c>
      <c r="I4" s="1" t="s">
        <v>5</v>
      </c>
    </row>
    <row r="5" spans="1:9" hidden="1" x14ac:dyDescent="0.25">
      <c r="A5" s="2"/>
      <c r="B5" s="2" t="s">
        <v>10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x14ac:dyDescent="0.25">
      <c r="A6" s="2" t="s">
        <v>69</v>
      </c>
      <c r="B6" s="2" t="s">
        <v>42</v>
      </c>
      <c r="C6" s="2" t="s">
        <v>41</v>
      </c>
      <c r="D6" s="2" t="s">
        <v>14</v>
      </c>
      <c r="E6" s="2" t="s">
        <v>34</v>
      </c>
      <c r="F6" s="2" t="s">
        <v>56</v>
      </c>
      <c r="G6" s="2">
        <v>0</v>
      </c>
      <c r="H6" s="2">
        <v>807135280</v>
      </c>
      <c r="I6" s="2" t="s">
        <v>40</v>
      </c>
    </row>
    <row r="7" spans="1:9" hidden="1" x14ac:dyDescent="0.25">
      <c r="A7" s="2" t="s">
        <v>69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>
        <v>10.29</v>
      </c>
      <c r="H7" s="2">
        <v>504576535</v>
      </c>
      <c r="I7" s="2" t="s">
        <v>17</v>
      </c>
    </row>
    <row r="8" spans="1:9" hidden="1" x14ac:dyDescent="0.25">
      <c r="A8" s="2" t="s">
        <v>69</v>
      </c>
      <c r="B8" s="2" t="s">
        <v>12</v>
      </c>
      <c r="C8" s="2" t="s">
        <v>18</v>
      </c>
      <c r="D8" s="2" t="s">
        <v>14</v>
      </c>
      <c r="E8" s="2" t="s">
        <v>19</v>
      </c>
      <c r="F8" s="2" t="s">
        <v>16</v>
      </c>
      <c r="G8" s="2">
        <v>10.85</v>
      </c>
      <c r="H8" s="2">
        <v>23153980</v>
      </c>
      <c r="I8" s="2" t="s">
        <v>17</v>
      </c>
    </row>
    <row r="9" spans="1:9" hidden="1" x14ac:dyDescent="0.25">
      <c r="A9" s="2" t="s">
        <v>69</v>
      </c>
      <c r="B9" s="2" t="s">
        <v>12</v>
      </c>
      <c r="C9" s="2" t="s">
        <v>20</v>
      </c>
      <c r="D9" s="2" t="s">
        <v>14</v>
      </c>
      <c r="E9" s="2" t="s">
        <v>15</v>
      </c>
      <c r="F9" s="2" t="s">
        <v>16</v>
      </c>
      <c r="G9" s="2">
        <v>9.0500000000000007</v>
      </c>
      <c r="H9" s="2">
        <v>504576535</v>
      </c>
      <c r="I9" s="2" t="s">
        <v>17</v>
      </c>
    </row>
    <row r="10" spans="1:9" hidden="1" x14ac:dyDescent="0.25">
      <c r="A10" s="2" t="s">
        <v>69</v>
      </c>
      <c r="B10" s="2" t="s">
        <v>12</v>
      </c>
      <c r="C10" s="2" t="s">
        <v>21</v>
      </c>
      <c r="D10" s="2" t="s">
        <v>14</v>
      </c>
      <c r="E10" s="2" t="s">
        <v>15</v>
      </c>
      <c r="F10" s="2" t="s">
        <v>16</v>
      </c>
      <c r="G10" s="2">
        <v>37.17</v>
      </c>
      <c r="H10" s="2">
        <v>504576535</v>
      </c>
      <c r="I10" s="2" t="s">
        <v>17</v>
      </c>
    </row>
    <row r="11" spans="1:9" hidden="1" x14ac:dyDescent="0.25">
      <c r="A11" s="2" t="s">
        <v>69</v>
      </c>
      <c r="B11" s="2" t="s">
        <v>12</v>
      </c>
      <c r="C11" s="2" t="s">
        <v>22</v>
      </c>
      <c r="D11" s="2" t="s">
        <v>14</v>
      </c>
      <c r="E11" s="2" t="s">
        <v>15</v>
      </c>
      <c r="F11" s="2" t="s">
        <v>16</v>
      </c>
      <c r="G11" s="2">
        <v>5.28</v>
      </c>
      <c r="H11" s="2">
        <v>504576535</v>
      </c>
      <c r="I11" s="2" t="s">
        <v>17</v>
      </c>
    </row>
    <row r="12" spans="1:9" hidden="1" x14ac:dyDescent="0.25">
      <c r="A12" s="2" t="s">
        <v>69</v>
      </c>
      <c r="B12" s="2" t="s">
        <v>12</v>
      </c>
      <c r="C12" s="2" t="s">
        <v>23</v>
      </c>
      <c r="D12" s="2" t="s">
        <v>14</v>
      </c>
      <c r="E12" s="2" t="s">
        <v>15</v>
      </c>
      <c r="F12" s="2" t="s">
        <v>16</v>
      </c>
      <c r="G12" s="2">
        <v>4.3099999999999996</v>
      </c>
      <c r="H12" s="2">
        <v>504576535</v>
      </c>
      <c r="I12" s="2" t="s">
        <v>17</v>
      </c>
    </row>
    <row r="13" spans="1:9" hidden="1" x14ac:dyDescent="0.25">
      <c r="A13" s="2" t="s">
        <v>69</v>
      </c>
      <c r="B13" s="2" t="s">
        <v>12</v>
      </c>
      <c r="C13" s="2" t="s">
        <v>24</v>
      </c>
      <c r="D13" s="2" t="s">
        <v>14</v>
      </c>
      <c r="E13" s="2" t="s">
        <v>15</v>
      </c>
      <c r="F13" s="2" t="s">
        <v>16</v>
      </c>
      <c r="G13" s="2">
        <v>2.85</v>
      </c>
      <c r="H13" s="2">
        <v>504576535</v>
      </c>
      <c r="I13" s="2" t="s">
        <v>17</v>
      </c>
    </row>
    <row r="14" spans="1:9" hidden="1" x14ac:dyDescent="0.25">
      <c r="A14" s="2" t="s">
        <v>69</v>
      </c>
      <c r="B14" s="2" t="s">
        <v>25</v>
      </c>
      <c r="C14" s="2" t="s">
        <v>26</v>
      </c>
      <c r="D14" s="2" t="s">
        <v>14</v>
      </c>
      <c r="E14" s="2" t="s">
        <v>15</v>
      </c>
      <c r="F14" s="2" t="s">
        <v>16</v>
      </c>
      <c r="G14" s="2">
        <v>8.11</v>
      </c>
      <c r="H14" s="2">
        <v>504576535</v>
      </c>
      <c r="I14" s="2" t="s">
        <v>17</v>
      </c>
    </row>
  </sheetData>
  <autoFilter ref="A4:I14" xr:uid="{52C2A695-0998-4E44-AC26-E46FD0F5FC24}">
    <filterColumn colId="7">
      <filters>
        <filter val="807135280"/>
      </filters>
    </filterColumn>
  </autoFilter>
  <mergeCells count="1">
    <mergeCell ref="B2:E2"/>
  </mergeCells>
  <conditionalFormatting sqref="A5 B5:I1048576">
    <cfRule type="expression" dxfId="2" priority="1">
      <formula>$B5="תחום - כללי"</formula>
    </cfRule>
    <cfRule type="expression" dxfId="1" priority="2">
      <formula>$B5="תחום - חיים ואבדן כושר עבודה"</formula>
    </cfRule>
    <cfRule type="expression" dxfId="0" priority="3">
      <formula>$B5="תחום - בריאות ותאונות אישיות"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EFC379-A8A5-445D-94D5-F79A61833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6</vt:i4>
      </vt:variant>
    </vt:vector>
  </HeadingPairs>
  <TitlesOfParts>
    <vt:vector size="10" baseType="lpstr">
      <vt:lpstr>תיק ביטוחי</vt:lpstr>
      <vt:lpstr>יונתן</vt:lpstr>
      <vt:lpstr>איתן</vt:lpstr>
      <vt:lpstr>אנה</vt:lpstr>
      <vt:lpstr>איתן!ReportDate</vt:lpstr>
      <vt:lpstr>אנה!ReportDate</vt:lpstr>
      <vt:lpstr>יונתן!ReportDate</vt:lpstr>
      <vt:lpstr>איתן!Results</vt:lpstr>
      <vt:lpstr>אנה!Results</vt:lpstr>
      <vt:lpstr>יונתן!Results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רועי בן-שבת</dc:creator>
  <cp:lastModifiedBy>עמית מזרחי</cp:lastModifiedBy>
  <dcterms:created xsi:type="dcterms:W3CDTF">2016-12-06T09:12:37Z</dcterms:created>
  <dcterms:modified xsi:type="dcterms:W3CDTF">2025-08-10T12:24:07Z</dcterms:modified>
</cp:coreProperties>
</file>